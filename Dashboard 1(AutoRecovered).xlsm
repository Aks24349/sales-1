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aksharanarayan/Documents/"/>
    </mc:Choice>
  </mc:AlternateContent>
  <xr:revisionPtr revIDLastSave="0" documentId="13_ncr:1_{C4596EF4-E1E8-3D4B-BA24-23C19662DA22}" xr6:coauthVersionLast="40" xr6:coauthVersionMax="40" xr10:uidLastSave="{00000000-0000-0000-0000-000000000000}"/>
  <bookViews>
    <workbookView xWindow="0" yWindow="760" windowWidth="29400" windowHeight="16820" xr2:uid="{C28782E5-02A0-5F41-8141-569A8CA7FFA2}"/>
  </bookViews>
  <sheets>
    <sheet name="Dashboard" sheetId="2" r:id="rId1"/>
    <sheet name="Sheet1" sheetId="3" r:id="rId2"/>
    <sheet name="raw data" sheetId="1" r:id="rId3"/>
  </sheets>
  <definedNames>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1" l="1"/>
  <c r="L4" i="1"/>
  <c r="L5" i="1"/>
  <c r="L6" i="1"/>
  <c r="L7" i="1"/>
  <c r="L8" i="1"/>
  <c r="L9" i="1"/>
  <c r="L10" i="1"/>
  <c r="L11" i="1"/>
  <c r="L12" i="1"/>
  <c r="L13" i="1"/>
  <c r="L14" i="1"/>
  <c r="L15" i="1"/>
  <c r="L16" i="1"/>
  <c r="L17" i="1"/>
  <c r="L18" i="1"/>
  <c r="L19" i="1"/>
  <c r="L20" i="1"/>
  <c r="L21" i="1"/>
  <c r="L22" i="1"/>
  <c r="L2" i="1"/>
  <c r="K3" i="1"/>
  <c r="K4" i="1"/>
  <c r="K5" i="1"/>
  <c r="K6" i="1"/>
  <c r="K7" i="1"/>
  <c r="K8" i="1"/>
  <c r="K9" i="1"/>
  <c r="K10" i="1"/>
  <c r="K11" i="1"/>
  <c r="K12" i="1"/>
  <c r="K13" i="1"/>
  <c r="K14" i="1"/>
  <c r="K15" i="1"/>
  <c r="K16" i="1"/>
  <c r="K17" i="1"/>
  <c r="K18" i="1"/>
  <c r="K19" i="1"/>
  <c r="K20" i="1"/>
  <c r="K21" i="1"/>
  <c r="K22" i="1"/>
  <c r="K2" i="1"/>
  <c r="I2" i="1"/>
  <c r="I3" i="1"/>
  <c r="I4" i="1"/>
  <c r="I5" i="1"/>
  <c r="I6" i="1"/>
  <c r="I7" i="1"/>
  <c r="I8" i="1"/>
  <c r="I9" i="1"/>
  <c r="I10" i="1"/>
  <c r="I11" i="1"/>
  <c r="I12" i="1"/>
  <c r="I13" i="1"/>
  <c r="I14" i="1"/>
  <c r="I15" i="1"/>
  <c r="I16" i="1"/>
  <c r="I17" i="1"/>
  <c r="I18" i="1"/>
  <c r="I19" i="1"/>
  <c r="I20" i="1"/>
  <c r="I21" i="1"/>
  <c r="I22" i="1"/>
</calcChain>
</file>

<file path=xl/sharedStrings.xml><?xml version="1.0" encoding="utf-8"?>
<sst xmlns="http://schemas.openxmlformats.org/spreadsheetml/2006/main" count="103" uniqueCount="67">
  <si>
    <t>Emp Code</t>
  </si>
  <si>
    <t>Sales Executive</t>
  </si>
  <si>
    <t>Region</t>
  </si>
  <si>
    <t>day 1</t>
  </si>
  <si>
    <t>day 2</t>
  </si>
  <si>
    <t>day 4</t>
  </si>
  <si>
    <t>day 5</t>
  </si>
  <si>
    <r>
      <rPr>
        <b/>
        <sz val="12"/>
        <color theme="1"/>
        <rFont val="Calibri"/>
        <family val="2"/>
        <scheme val="minor"/>
      </rPr>
      <t>day 3</t>
    </r>
    <r>
      <rPr>
        <sz val="12"/>
        <color theme="1"/>
        <rFont val="Calibri"/>
        <family val="2"/>
        <scheme val="minor"/>
      </rPr>
      <t xml:space="preserve"> </t>
    </r>
  </si>
  <si>
    <t>total sales</t>
  </si>
  <si>
    <t>target</t>
  </si>
  <si>
    <t>target hit %</t>
  </si>
  <si>
    <t>away from target %</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</si>
  <si>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</si>
  <si>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</si>
  <si>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</si>
  <si>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</si>
  <si>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</si>
  <si>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</si>
  <si>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</si>
  <si>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</si>
  <si>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</si>
  <si>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</si>
  <si>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</si>
  <si>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</si>
  <si>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</si>
  <si>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</si>
  <si>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</si>
  <si>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</si>
  <si>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</si>
  <si>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</si>
  <si>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</si>
  <si>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</si>
  <si>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</si>
  <si>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Raj verma</t>
  </si>
  <si>
    <t>Tanuja Kale</t>
  </si>
  <si>
    <t xml:space="preserve">Arvind Sharma </t>
  </si>
  <si>
    <t>Tahira Quereshi</t>
  </si>
  <si>
    <t>Anuj Sherma</t>
  </si>
  <si>
    <t>syed saqib</t>
  </si>
  <si>
    <t xml:space="preserve">sayed naved </t>
  </si>
  <si>
    <t xml:space="preserve">swarnlata bhosle </t>
  </si>
  <si>
    <t>sushma khandelwal</t>
  </si>
  <si>
    <t>surendra nath thakur</t>
  </si>
  <si>
    <t>surendra kumar</t>
  </si>
  <si>
    <t xml:space="preserve">sudhir kumar </t>
  </si>
  <si>
    <t>sunita madnani</t>
  </si>
  <si>
    <t>sunita chawla</t>
  </si>
  <si>
    <t xml:space="preserve">sunil kumar </t>
  </si>
  <si>
    <t>sudama kumar</t>
  </si>
  <si>
    <t>sonaram munda</t>
  </si>
  <si>
    <t>sneh khan</t>
  </si>
  <si>
    <t>shyemal singh</t>
  </si>
  <si>
    <t>varun singh</t>
  </si>
  <si>
    <t>mumbai</t>
  </si>
  <si>
    <t>delhi</t>
  </si>
  <si>
    <t xml:space="preserve"> chennai</t>
  </si>
  <si>
    <t xml:space="preserve">nagpur </t>
  </si>
  <si>
    <t>patna</t>
  </si>
  <si>
    <t xml:space="preserve">pune </t>
  </si>
  <si>
    <t xml:space="preserve">ranchi </t>
  </si>
  <si>
    <t>surat</t>
  </si>
  <si>
    <t>jammu</t>
  </si>
  <si>
    <t>punjab</t>
  </si>
  <si>
    <t xml:space="preserve">Sales Executive </t>
  </si>
  <si>
    <t xml:space="preserve">total sales </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</si>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</sst>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Calibri"/>
      <family val="2"/>
      <scheme val="minor"/>
    </font>
    <font>
      <b/>
      <sz val="12"/>
      <color theme="1"/>
      <name val="Calibri"/>
      <family val="2"/>
      <scheme val="minor"/>
    </font>
    <font>
      <sz val="12"/>
      <color theme="1"/>
      <name val="Calibri"/>
      <family val="2"/>
      <scheme val="minor"/>
    </font>
    <font>
      <sz val="12"/>
      <color theme="2" tint="-9.9978637043366805E-2"/>
      <name val="Calibri"/>
      <family val="2"/>
      <scheme val="minor"/>
    </font>
    <font>
      <sz val="13.2"/>
      <color rgb="FF000000"/>
      <name val="Calibri"/>
      <family val="2"/>
    </font>
  </fonts>
  <fills count="4">
    <fill>
      <patternFill patternType="none"/>
    </fill>
    <fill>
      <patternFill patternType="gray125"/>
    </fill>
    <fill>
      <patternFill patternType="solid">
        <fgColor theme="2" tint="-9.9978637043366805E-2"/>
        <bgColor indexed="64"/>
      </patternFill>
    </fill>
    <fill>
      <patternFill patternType="solid">
        <fgColor theme="2"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20">
    <xf numFmtId="0" fontId="0" fillId="0" borderId="0" xfId="0"/>
    <xf numFmtId="0" fontId="1" fillId="0" borderId="0" xfId="0" applyFont="1"/>
    <xf numFmtId="0" fontId="1" fillId="0" borderId="0" xfId="0" applyFont="1" applyAlignment="1">
      <alignment horizontal="center" vertical="top"/>
    </xf>
    <xf numFmtId="0" fontId="0" fillId="0" borderId="0" xfId="0" applyAlignment="1">
      <alignment horizontal="center" vertical="top"/>
    </xf>
    <xf numFmtId="0" fontId="1" fillId="0" borderId="0" xfId="0" applyFont="1" applyAlignment="1">
      <alignment horizontal="center"/>
    </xf>
    <xf numFmtId="0" fontId="0" fillId="0" borderId="0" xfId="0" applyAlignment="1">
      <alignment horizontal="center"/>
    </xf>
    <xf numFmtId="0" fontId="0" fillId="0" borderId="0" xfId="1" applyNumberFormat="1" applyFont="1"/>
    <xf numFmtId="10" fontId="0" fillId="0" borderId="0" xfId="1" applyNumberFormat="1" applyFont="1"/>
    <xf numFmtId="10" fontId="0" fillId="0" borderId="0" xfId="0" applyNumberFormat="1"/>
    <xf numFmtId="0" fontId="0" fillId="2" borderId="0" xfId="0" applyFill="1"/>
    <xf numFmtId="0" fontId="0" fillId="3" borderId="0" xfId="0" applyFill="1"/>
    <xf numFmtId="0" fontId="3" fillId="2" borderId="0" xfId="0" applyFont="1" applyFill="1"/>
    <xf numFmtId="0" fontId="3" fillId="0" borderId="0" xfId="0" applyFont="1"/>
    <xf numFmtId="0" fontId="0" fillId="3" borderId="1" xfId="0" applyFill="1" applyBorder="1"/>
    <xf numFmtId="0" fontId="0" fillId="3" borderId="1" xfId="0" applyFill="1" applyBorder="1" applyAlignment="1">
      <alignment horizontal="left"/>
    </xf>
    <xf numFmtId="0" fontId="0" fillId="3" borderId="1" xfId="0" applyNumberFormat="1" applyFill="1" applyBorder="1"/>
    <xf numFmtId="10" fontId="0" fillId="3" borderId="1" xfId="0" applyNumberFormat="1" applyFill="1" applyBorder="1"/>
    <xf numFmtId="0" fontId="0" fillId="3" borderId="2" xfId="0" applyFill="1" applyBorder="1"/>
    <xf numFmtId="0" fontId="0" fillId="3" borderId="2" xfId="0" applyFill="1" applyBorder="1" applyAlignment="1">
      <alignment horizontal="left"/>
    </xf>
    <xf numFmtId="0" fontId="0" fillId="2" borderId="0" xfId="0" applyFont="1" applyFill="1"/>
  </cellXfs>
  <cellStyles count="2">
    <cellStyle name="Normal" xfId="0" builtinId="0"/>
    <cellStyle name="Percent" xfId="1" builtinId="5"/>
  </cellStyles>
  <dxfs count="56">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patternType="solid">
          <bgColor theme="2" tint="-9.9978637043366805E-2"/>
        </patternFill>
      </fill>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1(AutoRecovered).xlsm]Dashboard!PivotTable1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407626905679342"/>
          <c:y val="6.3492063492063489E-2"/>
          <c:w val="0.71758442927346844"/>
          <c:h val="0.91269841269841268"/>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Arvind Sharma </c:v>
                </c:pt>
                <c:pt idx="1">
                  <c:v>shyemal singh</c:v>
                </c:pt>
                <c:pt idx="2">
                  <c:v>sonaram munda</c:v>
                </c:pt>
                <c:pt idx="3">
                  <c:v>sudhir kumar </c:v>
                </c:pt>
                <c:pt idx="4">
                  <c:v>varun singh</c:v>
                </c:pt>
              </c:strCache>
            </c:strRef>
          </c:cat>
          <c:val>
            <c:numRef>
              <c:f>Dashboard!$B$4:$B$8</c:f>
              <c:numCache>
                <c:formatCode>General</c:formatCode>
                <c:ptCount val="5"/>
                <c:pt idx="0">
                  <c:v>437</c:v>
                </c:pt>
                <c:pt idx="1">
                  <c:v>409</c:v>
                </c:pt>
                <c:pt idx="2">
                  <c:v>391</c:v>
                </c:pt>
                <c:pt idx="3">
                  <c:v>636</c:v>
                </c:pt>
                <c:pt idx="4">
                  <c:v>367</c:v>
                </c:pt>
              </c:numCache>
            </c:numRef>
          </c:val>
          <c:extLst>
            <c:ext xmlns:c16="http://schemas.microsoft.com/office/drawing/2014/chart" uri="{C3380CC4-5D6E-409C-BE32-E72D297353CC}">
              <c16:uniqueId val="{00000000-39D7-8249-B1A3-D889C98AC934}"/>
            </c:ext>
          </c:extLst>
        </c:ser>
        <c:dLbls>
          <c:dLblPos val="outEnd"/>
          <c:showLegendKey val="0"/>
          <c:showVal val="1"/>
          <c:showCatName val="0"/>
          <c:showSerName val="0"/>
          <c:showPercent val="0"/>
          <c:showBubbleSize val="0"/>
        </c:dLbls>
        <c:gapWidth val="219"/>
        <c:axId val="1893303391"/>
        <c:axId val="1893305071"/>
      </c:barChart>
      <c:catAx>
        <c:axId val="18933033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3305071"/>
        <c:crosses val="autoZero"/>
        <c:auto val="1"/>
        <c:lblAlgn val="ctr"/>
        <c:lblOffset val="100"/>
        <c:noMultiLvlLbl val="0"/>
      </c:catAx>
      <c:valAx>
        <c:axId val="1893305071"/>
        <c:scaling>
          <c:orientation val="minMax"/>
        </c:scaling>
        <c:delete val="1"/>
        <c:axPos val="b"/>
        <c:numFmt formatCode="General" sourceLinked="1"/>
        <c:majorTickMark val="none"/>
        <c:minorTickMark val="none"/>
        <c:tickLblPos val="nextTo"/>
        <c:crossAx val="189330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1(AutoRecovered).xlsm]Dashboard!PivotTable3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2">
                      <a:lumMod val="90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7BF-C745-B1D0-980F7F6665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7BF-C745-B1D0-980F7F6665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7BF-C745-B1D0-980F7F6665D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7BF-C745-B1D0-980F7F6665D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7BF-C745-B1D0-980F7F6665D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2">
                        <a:lumMod val="90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Arvind Sharma </c:v>
                </c:pt>
                <c:pt idx="1">
                  <c:v>shyemal singh</c:v>
                </c:pt>
                <c:pt idx="2">
                  <c:v>sonaram munda</c:v>
                </c:pt>
                <c:pt idx="3">
                  <c:v>sudhir kumar </c:v>
                </c:pt>
                <c:pt idx="4">
                  <c:v>varun singh</c:v>
                </c:pt>
              </c:strCache>
            </c:strRef>
          </c:cat>
          <c:val>
            <c:numRef>
              <c:f>Dashboard!$H$4:$H$8</c:f>
              <c:numCache>
                <c:formatCode>0.00%</c:formatCode>
                <c:ptCount val="5"/>
                <c:pt idx="0">
                  <c:v>0.874</c:v>
                </c:pt>
                <c:pt idx="1">
                  <c:v>0.81799999999999995</c:v>
                </c:pt>
                <c:pt idx="2">
                  <c:v>0.78200000000000003</c:v>
                </c:pt>
                <c:pt idx="3">
                  <c:v>1.272</c:v>
                </c:pt>
                <c:pt idx="4">
                  <c:v>0.73399999999999999</c:v>
                </c:pt>
              </c:numCache>
            </c:numRef>
          </c:val>
          <c:extLst>
            <c:ext xmlns:c16="http://schemas.microsoft.com/office/drawing/2014/chart" uri="{C3380CC4-5D6E-409C-BE32-E72D297353CC}">
              <c16:uniqueId val="{00000000-981E-4E45-ADB4-1546B20C1F8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solidFill>
            <a:schemeClr val="bg2">
              <a:lumMod val="9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1(AutoRecovered).xlsm]Dashboard!PivotTable4</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Sherma</c:v>
                </c:pt>
                <c:pt idx="1">
                  <c:v>Raj verma</c:v>
                </c:pt>
                <c:pt idx="2">
                  <c:v>sayed naved </c:v>
                </c:pt>
                <c:pt idx="3">
                  <c:v>sudhir kumar </c:v>
                </c:pt>
                <c:pt idx="4">
                  <c:v>syed saqib</c:v>
                </c:pt>
              </c:strCache>
            </c:strRef>
          </c:cat>
          <c:val>
            <c:numRef>
              <c:f>Dashboard!$K$4:$K$8</c:f>
              <c:numCache>
                <c:formatCode>0.00%</c:formatCode>
                <c:ptCount val="5"/>
                <c:pt idx="0">
                  <c:v>0.58200000000000007</c:v>
                </c:pt>
                <c:pt idx="1">
                  <c:v>0.55200000000000005</c:v>
                </c:pt>
                <c:pt idx="2">
                  <c:v>0.54</c:v>
                </c:pt>
                <c:pt idx="3">
                  <c:v>0.72799999999999998</c:v>
                </c:pt>
                <c:pt idx="4">
                  <c:v>0.55000000000000004</c:v>
                </c:pt>
              </c:numCache>
            </c:numRef>
          </c:val>
          <c:smooth val="0"/>
          <c:extLst>
            <c:ext xmlns:c16="http://schemas.microsoft.com/office/drawing/2014/chart" uri="{C3380CC4-5D6E-409C-BE32-E72D297353CC}">
              <c16:uniqueId val="{00000000-36EC-B140-996C-37091B61F5D5}"/>
            </c:ext>
          </c:extLst>
        </c:ser>
        <c:dLbls>
          <c:dLblPos val="ctr"/>
          <c:showLegendKey val="0"/>
          <c:showVal val="1"/>
          <c:showCatName val="0"/>
          <c:showSerName val="0"/>
          <c:showPercent val="0"/>
          <c:showBubbleSize val="0"/>
        </c:dLbls>
        <c:marker val="1"/>
        <c:smooth val="0"/>
        <c:axId val="1893694031"/>
        <c:axId val="1893695711"/>
      </c:lineChart>
      <c:catAx>
        <c:axId val="1893694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3695711"/>
        <c:crosses val="autoZero"/>
        <c:auto val="1"/>
        <c:lblAlgn val="ctr"/>
        <c:lblOffset val="100"/>
        <c:noMultiLvlLbl val="0"/>
      </c:catAx>
      <c:valAx>
        <c:axId val="1893695711"/>
        <c:scaling>
          <c:orientation val="minMax"/>
        </c:scaling>
        <c:delete val="1"/>
        <c:axPos val="l"/>
        <c:numFmt formatCode="0.00%" sourceLinked="1"/>
        <c:majorTickMark val="none"/>
        <c:minorTickMark val="none"/>
        <c:tickLblPos val="nextTo"/>
        <c:crossAx val="1893694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D$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5</xdr:col>
      <xdr:colOff>10160</xdr:colOff>
      <xdr:row>19</xdr:row>
      <xdr:rowOff>162560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304800</xdr:colOff>
      <xdr:row>8</xdr:row>
      <xdr:rowOff>193040</xdr:rowOff>
    </xdr:from>
    <xdr:to>
      <xdr:col>8</xdr:col>
      <xdr:colOff>20320</xdr:colOff>
      <xdr:row>19</xdr:row>
      <xdr:rowOff>172720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277092</xdr:colOff>
      <xdr:row>8</xdr:row>
      <xdr:rowOff>115454</xdr:rowOff>
    </xdr:from>
    <xdr:to>
      <xdr:col>11</xdr:col>
      <xdr:colOff>23091</xdr:colOff>
      <xdr:row>20</xdr:row>
      <xdr:rowOff>11545</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31403</xdr:rowOff>
    </xdr:from>
    <xdr:to>
      <xdr:col>11</xdr:col>
      <xdr:colOff>811414</xdr:colOff>
      <xdr:row>0</xdr:row>
      <xdr:rowOff>676101</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1403"/>
              <a:ext cx="11309009" cy="6446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438728</xdr:colOff>
      <xdr:row>1</xdr:row>
      <xdr:rowOff>11546</xdr:rowOff>
    </xdr:from>
    <xdr:to>
      <xdr:col>5</xdr:col>
      <xdr:colOff>161637</xdr:colOff>
      <xdr:row>2</xdr:row>
      <xdr:rowOff>0</xdr:rowOff>
    </xdr:to>
    <xdr:sp macro="" textlink="">
      <xdr:nvSpPr>
        <xdr:cNvPr id="10" name="Terminator 9">
          <a:extLst>
            <a:ext uri="{FF2B5EF4-FFF2-40B4-BE49-F238E27FC236}">
              <a16:creationId xmlns:a16="http://schemas.microsoft.com/office/drawing/2014/main" id="{00000000-0008-0000-0000-00000A000000}"/>
            </a:ext>
          </a:extLst>
        </xdr:cNvPr>
        <xdr:cNvSpPr/>
      </xdr:nvSpPr>
      <xdr:spPr>
        <a:xfrm>
          <a:off x="2840183" y="692728"/>
          <a:ext cx="2008909" cy="658090"/>
        </a:xfrm>
        <a:prstGeom prst="flowChartTerminator">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57728</xdr:colOff>
      <xdr:row>1</xdr:row>
      <xdr:rowOff>11547</xdr:rowOff>
    </xdr:from>
    <xdr:to>
      <xdr:col>7</xdr:col>
      <xdr:colOff>889001</xdr:colOff>
      <xdr:row>1</xdr:row>
      <xdr:rowOff>635001</xdr:rowOff>
    </xdr:to>
    <xdr:sp macro="" textlink="">
      <xdr:nvSpPr>
        <xdr:cNvPr id="11" name="Terminator 10">
          <a:extLst>
            <a:ext uri="{FF2B5EF4-FFF2-40B4-BE49-F238E27FC236}">
              <a16:creationId xmlns:a16="http://schemas.microsoft.com/office/drawing/2014/main" id="{00000000-0008-0000-0000-00000B000000}"/>
            </a:ext>
          </a:extLst>
        </xdr:cNvPr>
        <xdr:cNvSpPr/>
      </xdr:nvSpPr>
      <xdr:spPr>
        <a:xfrm>
          <a:off x="5080001" y="219365"/>
          <a:ext cx="1939636" cy="623454"/>
        </a:xfrm>
        <a:prstGeom prst="flowChartTerminator">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415637</xdr:colOff>
      <xdr:row>1</xdr:row>
      <xdr:rowOff>34637</xdr:rowOff>
    </xdr:from>
    <xdr:to>
      <xdr:col>10</xdr:col>
      <xdr:colOff>1270000</xdr:colOff>
      <xdr:row>1</xdr:row>
      <xdr:rowOff>646546</xdr:rowOff>
    </xdr:to>
    <xdr:sp macro="" textlink="">
      <xdr:nvSpPr>
        <xdr:cNvPr id="12" name="Terminator 11">
          <a:extLst>
            <a:ext uri="{FF2B5EF4-FFF2-40B4-BE49-F238E27FC236}">
              <a16:creationId xmlns:a16="http://schemas.microsoft.com/office/drawing/2014/main" id="{00000000-0008-0000-0000-00000C000000}"/>
            </a:ext>
          </a:extLst>
        </xdr:cNvPr>
        <xdr:cNvSpPr/>
      </xdr:nvSpPr>
      <xdr:spPr>
        <a:xfrm>
          <a:off x="8035637" y="242455"/>
          <a:ext cx="1985818" cy="611909"/>
        </a:xfrm>
        <a:prstGeom prst="flowChartTerminator">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242455</xdr:colOff>
      <xdr:row>1</xdr:row>
      <xdr:rowOff>46181</xdr:rowOff>
    </xdr:from>
    <xdr:to>
      <xdr:col>1</xdr:col>
      <xdr:colOff>750454</xdr:colOff>
      <xdr:row>1</xdr:row>
      <xdr:rowOff>658092</xdr:rowOff>
    </xdr:to>
    <xdr:sp macro="" textlink="">
      <xdr:nvSpPr>
        <xdr:cNvPr id="13" name="Terminator 12">
          <a:extLst>
            <a:ext uri="{FF2B5EF4-FFF2-40B4-BE49-F238E27FC236}">
              <a16:creationId xmlns:a16="http://schemas.microsoft.com/office/drawing/2014/main" id="{00000000-0008-0000-0000-00000D000000}"/>
            </a:ext>
          </a:extLst>
        </xdr:cNvPr>
        <xdr:cNvSpPr/>
      </xdr:nvSpPr>
      <xdr:spPr>
        <a:xfrm>
          <a:off x="242455" y="542636"/>
          <a:ext cx="1801090" cy="611911"/>
        </a:xfrm>
        <a:prstGeom prst="flowChartTerminator">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685800</xdr:colOff>
          <xdr:row>1</xdr:row>
          <xdr:rowOff>152400</xdr:rowOff>
        </xdr:from>
        <xdr:to>
          <xdr:col>4</xdr:col>
          <xdr:colOff>977900</xdr:colOff>
          <xdr:row>1</xdr:row>
          <xdr:rowOff>533400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320" b="0" i="0" u="none" strike="noStrike" baseline="0">
                  <a:solidFill>
                    <a:srgbClr val="000000"/>
                  </a:solidFill>
                  <a:latin typeface="Calibri" pitchFamily="2" charset="0"/>
                  <a:cs typeface="Calibri" pitchFamily="2" charset="0"/>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1</xdr:row>
          <xdr:rowOff>139700</xdr:rowOff>
        </xdr:from>
        <xdr:to>
          <xdr:col>7</xdr:col>
          <xdr:colOff>711200</xdr:colOff>
          <xdr:row>1</xdr:row>
          <xdr:rowOff>520700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320" b="0" i="0" u="none" strike="noStrike" baseline="0">
                  <a:solidFill>
                    <a:srgbClr val="000000"/>
                  </a:solidFill>
                  <a:latin typeface="Calibri" pitchFamily="2" charset="0"/>
                  <a:cs typeface="Calibri" pitchFamily="2" charset="0"/>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698500</xdr:colOff>
          <xdr:row>1</xdr:row>
          <xdr:rowOff>152400</xdr:rowOff>
        </xdr:from>
        <xdr:to>
          <xdr:col>10</xdr:col>
          <xdr:colOff>1092200</xdr:colOff>
          <xdr:row>1</xdr:row>
          <xdr:rowOff>533400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320" b="0" i="0" u="none" strike="noStrike" baseline="0">
                  <a:solidFill>
                    <a:srgbClr val="000000"/>
                  </a:solidFill>
                  <a:latin typeface="Calibri" pitchFamily="2" charset="0"/>
                  <a:cs typeface="Calibri" pitchFamily="2" charset="0"/>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444500</xdr:colOff>
          <xdr:row>1</xdr:row>
          <xdr:rowOff>139700</xdr:rowOff>
        </xdr:from>
        <xdr:to>
          <xdr:col>1</xdr:col>
          <xdr:colOff>673100</xdr:colOff>
          <xdr:row>1</xdr:row>
          <xdr:rowOff>520700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320" b="0" i="0" u="none" strike="noStrike" baseline="0">
                  <a:solidFill>
                    <a:srgbClr val="000000"/>
                  </a:solidFill>
                  <a:latin typeface="Calibri" pitchFamily="2" charset="0"/>
                  <a:cs typeface="Calibri" pitchFamily="2" charset="0"/>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6192.070996875002" createdVersion="6" refreshedVersion="6" minRefreshableVersion="3" recordCount="21" xr:uid="{27E0DC20-1239-6844-A36D-95264EE2A6A8}">
  <cacheSource type="worksheet">
    <worksheetSource ref="A1:L22" sheet="raw data"/>
  </cacheSource>
  <cacheFields count="12">
    <cacheField name="Emp Code" numFmtId="0">
      <sharedItems/>
    </cacheField>
    <cacheField name="Sales Executive" numFmtId="0">
      <sharedItems count="20">
        <s v="Raj verma"/>
        <s v="Tanuja Kale"/>
        <s v="Arvind Sharma "/>
        <s v="Tahira Quereshi"/>
        <s v="Anuj Sherma"/>
        <s v="syed saqib"/>
        <s v="sayed naved "/>
        <s v="swarnlata bhosle "/>
        <s v="sushma khandelwal"/>
        <s v="surendra nath thakur"/>
        <s v="surendra kumar"/>
        <s v="sudhir kumar "/>
        <s v="sunita madnani"/>
        <s v="sunita chawla"/>
        <s v="sunil kumar "/>
        <s v="sudama kumar"/>
        <s v="sonaram munda"/>
        <s v="sneh khan"/>
        <s v="shyemal singh"/>
        <s v="varun singh"/>
      </sharedItems>
    </cacheField>
    <cacheField name="Region" numFmtId="0">
      <sharedItems count="10">
        <s v="mumbai"/>
        <s v="delhi"/>
        <s v=" chennai"/>
        <s v="nagpur "/>
        <s v="patna"/>
        <s v="pune "/>
        <s v="ranchi "/>
        <s v="surat"/>
        <s v="jammu"/>
        <s v="punjab"/>
      </sharedItems>
    </cacheField>
    <cacheField name="day 1" numFmtId="0">
      <sharedItems containsSemiMixedTypes="0" containsString="0" containsNumber="1" containsInteger="1" minValue="21" maxValue="99"/>
    </cacheField>
    <cacheField name="day 2" numFmtId="0">
      <sharedItems containsSemiMixedTypes="0" containsString="0" containsNumber="1" containsInteger="1" minValue="9" maxValue="98"/>
    </cacheField>
    <cacheField name="day 3 " numFmtId="0">
      <sharedItems containsSemiMixedTypes="0" containsString="0" containsNumber="1" containsInteger="1" minValue="23" maxValue="98"/>
    </cacheField>
    <cacheField name="day 4" numFmtId="0">
      <sharedItems containsSemiMixedTypes="0" containsString="0" containsNumber="1" containsInteger="1" minValue="12" maxValue="98"/>
    </cacheField>
    <cacheField name="day 5" numFmtId="0">
      <sharedItems containsSemiMixedTypes="0" containsString="0" containsNumber="1" containsInteger="1" minValue="10" maxValue="98"/>
    </cacheField>
    <cacheField name="total sales" numFmtId="0">
      <sharedItems containsSemiMixedTypes="0" containsString="0" containsNumber="1" containsInteger="1" minValue="209" maxValue="437" count="21">
        <n v="224"/>
        <n v="365"/>
        <n v="437"/>
        <n v="357"/>
        <n v="209"/>
        <n v="225"/>
        <n v="230"/>
        <n v="268"/>
        <n v="337"/>
        <n v="251"/>
        <n v="286"/>
        <n v="306"/>
        <n v="363"/>
        <n v="279"/>
        <n v="333"/>
        <n v="330"/>
        <n v="335"/>
        <n v="391"/>
        <n v="303"/>
        <n v="409"/>
        <n v="367"/>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41799999999999998" maxValue="0.874" count="21">
        <n v="0.44800000000000001"/>
        <n v="0.73"/>
        <n v="0.874"/>
        <n v="0.71399999999999997"/>
        <n v="0.41799999999999998"/>
        <n v="0.45"/>
        <n v="0.46"/>
        <n v="0.53600000000000003"/>
        <n v="0.67400000000000004"/>
        <n v="0.502"/>
        <n v="0.57199999999999995"/>
        <n v="0.61199999999999999"/>
        <n v="0.72599999999999998"/>
        <n v="0.55800000000000005"/>
        <n v="0.66600000000000004"/>
        <n v="0.66"/>
        <n v="0.67"/>
        <n v="0.78200000000000003"/>
        <n v="0.60599999999999998"/>
        <n v="0.81799999999999995"/>
        <n v="0.73399999999999999"/>
      </sharedItems>
    </cacheField>
    <cacheField name="away from target %" numFmtId="10">
      <sharedItems containsSemiMixedTypes="0" containsString="0" containsNumber="1" minValue="0.126" maxValue="0.58200000000000007" count="21">
        <n v="0.55200000000000005"/>
        <n v="0.27"/>
        <n v="0.126"/>
        <n v="0.28600000000000003"/>
        <n v="0.58200000000000007"/>
        <n v="0.55000000000000004"/>
        <n v="0.54"/>
        <n v="0.46399999999999997"/>
        <n v="0.32599999999999996"/>
        <n v="0.498"/>
        <n v="0.42800000000000005"/>
        <n v="0.38800000000000001"/>
        <n v="0.27400000000000002"/>
        <n v="0.44199999999999995"/>
        <n v="0.33399999999999996"/>
        <n v="0.33999999999999997"/>
        <n v="0.32999999999999996"/>
        <n v="0.21799999999999997"/>
        <n v="0.39400000000000002"/>
        <n v="0.18200000000000005"/>
        <n v="0.26600000000000001"/>
      </sharedItems>
    </cacheField>
  </cacheFields>
  <extLst>
    <ext xmlns:x14="http://schemas.microsoft.com/office/spreadsheetml/2009/9/main" uri="{725AE2AE-9491-48be-B2B4-4EB974FC3084}">
      <x14:pivotCacheDefinition pivotCacheId="4776015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s v="Mum-TCL001"/>
    <x v="0"/>
    <x v="0"/>
    <n v="45"/>
    <n v="34"/>
    <n v="45"/>
    <n v="56"/>
    <n v="44"/>
    <x v="0"/>
    <n v="500"/>
    <x v="0"/>
    <x v="0"/>
  </r>
  <r>
    <s v="Mum-TCL002"/>
    <x v="1"/>
    <x v="1"/>
    <n v="67"/>
    <n v="56"/>
    <n v="89"/>
    <n v="98"/>
    <n v="55"/>
    <x v="1"/>
    <n v="500"/>
    <x v="1"/>
    <x v="1"/>
  </r>
  <r>
    <s v="Mum-TCL003"/>
    <x v="2"/>
    <x v="2"/>
    <n v="89"/>
    <n v="90"/>
    <n v="90"/>
    <n v="79"/>
    <n v="89"/>
    <x v="2"/>
    <n v="500"/>
    <x v="2"/>
    <x v="2"/>
  </r>
  <r>
    <s v="Mum-TCL004"/>
    <x v="3"/>
    <x v="3"/>
    <n v="65"/>
    <n v="55"/>
    <n v="80"/>
    <n v="70"/>
    <n v="87"/>
    <x v="3"/>
    <n v="500"/>
    <x v="3"/>
    <x v="3"/>
  </r>
  <r>
    <s v="Mum-TCL005"/>
    <x v="4"/>
    <x v="4"/>
    <n v="34"/>
    <n v="23"/>
    <n v="40"/>
    <n v="34"/>
    <n v="78"/>
    <x v="4"/>
    <n v="500"/>
    <x v="4"/>
    <x v="4"/>
  </r>
  <r>
    <s v="Mum-TCL006"/>
    <x v="5"/>
    <x v="5"/>
    <n v="23"/>
    <n v="56"/>
    <n v="33"/>
    <n v="23"/>
    <n v="90"/>
    <x v="5"/>
    <n v="500"/>
    <x v="5"/>
    <x v="5"/>
  </r>
  <r>
    <s v="Mum-TCL007"/>
    <x v="6"/>
    <x v="6"/>
    <n v="56"/>
    <n v="98"/>
    <n v="44"/>
    <n v="12"/>
    <n v="20"/>
    <x v="6"/>
    <n v="500"/>
    <x v="6"/>
    <x v="6"/>
  </r>
  <r>
    <s v="Mum-TCL008"/>
    <x v="7"/>
    <x v="0"/>
    <n v="90"/>
    <n v="67"/>
    <n v="23"/>
    <n v="78"/>
    <n v="10"/>
    <x v="7"/>
    <n v="500"/>
    <x v="7"/>
    <x v="7"/>
  </r>
  <r>
    <s v="Mum-TCL009"/>
    <x v="8"/>
    <x v="1"/>
    <n v="56"/>
    <n v="87"/>
    <n v="45"/>
    <n v="84"/>
    <n v="65"/>
    <x v="8"/>
    <n v="500"/>
    <x v="8"/>
    <x v="8"/>
  </r>
  <r>
    <s v="Mum-TCL010"/>
    <x v="9"/>
    <x v="3"/>
    <n v="33"/>
    <n v="34"/>
    <n v="39"/>
    <n v="67"/>
    <n v="78"/>
    <x v="9"/>
    <n v="500"/>
    <x v="9"/>
    <x v="9"/>
  </r>
  <r>
    <s v="Mum-TCL011"/>
    <x v="10"/>
    <x v="0"/>
    <n v="34"/>
    <n v="23"/>
    <n v="89"/>
    <n v="87"/>
    <n v="53"/>
    <x v="10"/>
    <n v="500"/>
    <x v="10"/>
    <x v="10"/>
  </r>
  <r>
    <s v="Mum-TCL012"/>
    <x v="11"/>
    <x v="7"/>
    <n v="89"/>
    <n v="21"/>
    <n v="77"/>
    <n v="87"/>
    <n v="32"/>
    <x v="11"/>
    <n v="500"/>
    <x v="11"/>
    <x v="11"/>
  </r>
  <r>
    <s v="Mum-TCL013"/>
    <x v="12"/>
    <x v="6"/>
    <n v="99"/>
    <n v="22"/>
    <n v="54"/>
    <n v="90"/>
    <n v="98"/>
    <x v="12"/>
    <n v="500"/>
    <x v="12"/>
    <x v="12"/>
  </r>
  <r>
    <s v="Mum-TCL014"/>
    <x v="13"/>
    <x v="4"/>
    <n v="56"/>
    <n v="11"/>
    <n v="89"/>
    <n v="34"/>
    <n v="89"/>
    <x v="13"/>
    <n v="500"/>
    <x v="13"/>
    <x v="13"/>
  </r>
  <r>
    <s v="Mum-TCL015"/>
    <x v="14"/>
    <x v="5"/>
    <n v="55"/>
    <n v="45"/>
    <n v="80"/>
    <n v="77"/>
    <n v="76"/>
    <x v="14"/>
    <n v="500"/>
    <x v="14"/>
    <x v="14"/>
  </r>
  <r>
    <s v="Mum-TCL016"/>
    <x v="11"/>
    <x v="1"/>
    <n v="21"/>
    <n v="55"/>
    <n v="98"/>
    <n v="78"/>
    <n v="78"/>
    <x v="15"/>
    <n v="500"/>
    <x v="15"/>
    <x v="15"/>
  </r>
  <r>
    <s v="Mum-TCL017"/>
    <x v="15"/>
    <x v="7"/>
    <n v="45"/>
    <n v="72"/>
    <n v="65"/>
    <n v="55"/>
    <n v="98"/>
    <x v="16"/>
    <n v="500"/>
    <x v="16"/>
    <x v="16"/>
  </r>
  <r>
    <s v="Mum-TCL018"/>
    <x v="16"/>
    <x v="1"/>
    <n v="56"/>
    <n v="87"/>
    <n v="76"/>
    <n v="74"/>
    <n v="98"/>
    <x v="17"/>
    <n v="500"/>
    <x v="17"/>
    <x v="17"/>
  </r>
  <r>
    <s v="Mum-TCL019"/>
    <x v="17"/>
    <x v="8"/>
    <n v="44"/>
    <n v="9"/>
    <n v="76"/>
    <n v="84"/>
    <n v="90"/>
    <x v="18"/>
    <n v="500"/>
    <x v="18"/>
    <x v="18"/>
  </r>
  <r>
    <s v="Mum-TCL020"/>
    <x v="18"/>
    <x v="9"/>
    <n v="55"/>
    <n v="89"/>
    <n v="98"/>
    <n v="89"/>
    <n v="78"/>
    <x v="19"/>
    <n v="500"/>
    <x v="19"/>
    <x v="19"/>
  </r>
  <r>
    <s v="Mum-TCL021"/>
    <x v="19"/>
    <x v="0"/>
    <n v="47"/>
    <n v="75"/>
    <n v="76"/>
    <n v="98"/>
    <n v="71"/>
    <x v="20"/>
    <n v="500"/>
    <x v="20"/>
    <x v="2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A6B94F-DC43-154A-A8E2-E613C3D7AB03}"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
  <location ref="D3:E8" firstHeaderRow="1" firstDataRow="1" firstDataCol="1"/>
  <pivotFields count="12">
    <pivotField showAll="0"/>
    <pivotField axis="axisRow" showAll="0" measureFilter="1">
      <items count="21">
        <item x="4"/>
        <item x="2"/>
        <item x="0"/>
        <item x="6"/>
        <item x="18"/>
        <item x="17"/>
        <item x="16"/>
        <item x="15"/>
        <item x="11"/>
        <item x="14"/>
        <item x="13"/>
        <item x="12"/>
        <item x="10"/>
        <item x="9"/>
        <item x="8"/>
        <item x="7"/>
        <item x="5"/>
        <item x="3"/>
        <item x="1"/>
        <item x="19"/>
        <item t="default"/>
      </items>
    </pivotField>
    <pivotField showAll="0">
      <items count="11">
        <item h="1" x="2"/>
        <item x="1"/>
        <item h="1" x="8"/>
        <item h="1" x="0"/>
        <item h="1" x="3"/>
        <item h="1" x="4"/>
        <item h="1" x="5"/>
        <item h="1" x="9"/>
        <item h="1" x="6"/>
        <item h="1" x="7"/>
        <item t="default"/>
      </items>
    </pivotField>
    <pivotField showAll="0"/>
    <pivotField showAll="0"/>
    <pivotField showAll="0"/>
    <pivotField showAll="0"/>
    <pivotField showAll="0"/>
    <pivotField dataField="1" showAll="0">
      <items count="22">
        <item x="4"/>
        <item x="0"/>
        <item x="5"/>
        <item x="6"/>
        <item x="9"/>
        <item x="7"/>
        <item x="13"/>
        <item x="10"/>
        <item x="18"/>
        <item x="11"/>
        <item x="15"/>
        <item x="14"/>
        <item x="16"/>
        <item x="8"/>
        <item x="3"/>
        <item x="12"/>
        <item x="1"/>
        <item x="20"/>
        <item x="17"/>
        <item x="19"/>
        <item x="2"/>
        <item t="default"/>
      </items>
    </pivotField>
    <pivotField showAll="0"/>
    <pivotField numFmtId="10" showAll="0"/>
    <pivotField numFmtId="10" showAll="0"/>
  </pivotFields>
  <rowFields count="1">
    <field x="1"/>
  </rowFields>
  <rowItems count="5">
    <i>
      <x/>
    </i>
    <i>
      <x v="2"/>
    </i>
    <i>
      <x v="3"/>
    </i>
    <i>
      <x v="13"/>
    </i>
    <i>
      <x v="16"/>
    </i>
  </rowItems>
  <colItems count="1">
    <i/>
  </colItems>
  <dataFields count="1">
    <dataField name="total sales " fld="8" baseField="0" baseItem="0"/>
  </dataFields>
  <formats count="15">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4">
            <x v="2"/>
            <x v="12"/>
            <x v="15"/>
            <x v="19"/>
          </reference>
        </references>
      </pivotArea>
    </format>
    <format dxfId="10">
      <pivotArea dataOnly="0" labelOnly="1" outline="0" axis="axisValues" fieldPosition="0"/>
    </format>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4">
            <x v="2"/>
            <x v="12"/>
            <x v="15"/>
            <x v="19"/>
          </reference>
        </references>
      </pivotArea>
    </format>
    <format dxfId="5">
      <pivotArea dataOnly="0" labelOnly="1" outline="0" axis="axisValues" fieldPosition="0"/>
    </format>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4">
            <x v="2"/>
            <x v="12"/>
            <x v="15"/>
            <x v="19"/>
          </reference>
        </references>
      </pivotArea>
    </format>
    <format dxfId="0">
      <pivotArea dataOnly="0" labelOnly="1" outline="0" axis="axisValues" fieldPosition="0"/>
    </format>
  </formats>
  <pivotTableStyleInfo name="PivotStyleLight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ABE132-1485-F94A-BF44-F1B5005FCB68}"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
  <location ref="A3:B8" firstHeaderRow="1" firstDataRow="1" firstDataCol="1"/>
  <pivotFields count="12">
    <pivotField showAll="0"/>
    <pivotField axis="axisRow" showAll="0" measureFilter="1">
      <items count="21">
        <item x="4"/>
        <item x="2"/>
        <item x="0"/>
        <item x="6"/>
        <item x="18"/>
        <item x="17"/>
        <item x="16"/>
        <item x="15"/>
        <item x="11"/>
        <item x="14"/>
        <item x="13"/>
        <item x="12"/>
        <item x="10"/>
        <item x="9"/>
        <item x="8"/>
        <item x="7"/>
        <item x="5"/>
        <item x="3"/>
        <item x="1"/>
        <item x="19"/>
        <item t="default"/>
      </items>
    </pivotField>
    <pivotField showAll="0">
      <items count="11">
        <item h="1" x="2"/>
        <item x="1"/>
        <item h="1" x="8"/>
        <item h="1" x="0"/>
        <item h="1" x="3"/>
        <item h="1" x="4"/>
        <item h="1" x="5"/>
        <item h="1" x="9"/>
        <item h="1" x="6"/>
        <item h="1" x="7"/>
        <item t="default"/>
      </items>
    </pivotField>
    <pivotField showAll="0"/>
    <pivotField showAll="0"/>
    <pivotField showAll="0"/>
    <pivotField showAll="0"/>
    <pivotField showAll="0"/>
    <pivotField dataField="1" showAll="0">
      <items count="22">
        <item x="4"/>
        <item x="0"/>
        <item x="5"/>
        <item x="6"/>
        <item x="9"/>
        <item x="7"/>
        <item x="13"/>
        <item x="10"/>
        <item x="18"/>
        <item x="11"/>
        <item x="15"/>
        <item x="14"/>
        <item x="16"/>
        <item x="8"/>
        <item x="3"/>
        <item x="12"/>
        <item x="1"/>
        <item x="20"/>
        <item x="17"/>
        <item x="19"/>
        <item x="2"/>
        <item t="default"/>
      </items>
    </pivotField>
    <pivotField showAll="0"/>
    <pivotField numFmtId="10" showAll="0"/>
    <pivotField numFmtId="10" showAll="0"/>
  </pivotFields>
  <rowFields count="1">
    <field x="1"/>
  </rowFields>
  <rowItems count="5">
    <i>
      <x v="1"/>
    </i>
    <i>
      <x v="4"/>
    </i>
    <i>
      <x v="6"/>
    </i>
    <i>
      <x v="8"/>
    </i>
    <i>
      <x v="19"/>
    </i>
  </rowItems>
  <colItems count="1">
    <i/>
  </colItems>
  <dataFields count="1">
    <dataField name="total sales " fld="8" baseField="0" baseItem="0"/>
  </dataFields>
  <formats count="11">
    <format dxfId="25">
      <pivotArea collapsedLevelsAreSubtotals="1" fieldPosition="0">
        <references count="1">
          <reference field="1" count="1">
            <x v="15"/>
          </reference>
        </references>
      </pivotArea>
    </format>
    <format dxfId="24">
      <pivotArea type="all" dataOnly="0" outline="0" fieldPosition="0"/>
    </format>
    <format dxfId="23">
      <pivotArea outline="0" collapsedLevelsAreSubtotals="1" fieldPosition="0"/>
    </format>
    <format dxfId="22">
      <pivotArea field="1" type="button" dataOnly="0" labelOnly="1" outline="0" axis="axisRow" fieldPosition="0"/>
    </format>
    <format dxfId="21">
      <pivotArea dataOnly="0" labelOnly="1" fieldPosition="0">
        <references count="1">
          <reference field="1" count="4">
            <x v="2"/>
            <x v="12"/>
            <x v="15"/>
            <x v="19"/>
          </reference>
        </references>
      </pivotArea>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4">
            <x v="2"/>
            <x v="12"/>
            <x v="15"/>
            <x v="19"/>
          </reference>
        </references>
      </pivotArea>
    </format>
    <format dxfId="1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046F9F7-A296-9741-AB8E-1C23F4C7B7BD}"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21">
        <item x="4"/>
        <item x="2"/>
        <item x="0"/>
        <item x="6"/>
        <item x="18"/>
        <item x="17"/>
        <item x="16"/>
        <item x="15"/>
        <item x="11"/>
        <item x="14"/>
        <item x="13"/>
        <item x="12"/>
        <item x="10"/>
        <item x="9"/>
        <item x="8"/>
        <item x="7"/>
        <item x="5"/>
        <item x="3"/>
        <item x="1"/>
        <item x="19"/>
        <item t="default"/>
      </items>
    </pivotField>
    <pivotField showAll="0">
      <items count="11">
        <item h="1" x="2"/>
        <item h="1" x="1"/>
        <item h="1" x="8"/>
        <item h="1" x="0"/>
        <item x="3"/>
        <item h="1" x="4"/>
        <item h="1" x="5"/>
        <item h="1" x="9"/>
        <item h="1" x="6"/>
        <item h="1" x="7"/>
        <item t="default"/>
      </items>
    </pivotField>
    <pivotField showAll="0"/>
    <pivotField showAll="0"/>
    <pivotField showAll="0"/>
    <pivotField showAll="0"/>
    <pivotField showAll="0"/>
    <pivotField showAll="0"/>
    <pivotField showAll="0"/>
    <pivotField numFmtId="10" showAll="0">
      <items count="22">
        <item x="4"/>
        <item x="0"/>
        <item x="5"/>
        <item x="6"/>
        <item x="9"/>
        <item x="7"/>
        <item x="13"/>
        <item x="10"/>
        <item x="18"/>
        <item x="11"/>
        <item x="15"/>
        <item x="14"/>
        <item x="16"/>
        <item x="8"/>
        <item x="3"/>
        <item x="12"/>
        <item x="1"/>
        <item x="20"/>
        <item x="17"/>
        <item x="19"/>
        <item x="2"/>
        <item t="default"/>
      </items>
    </pivotField>
    <pivotField dataField="1" numFmtId="10" showAll="0">
      <items count="22">
        <item x="2"/>
        <item x="19"/>
        <item x="17"/>
        <item x="20"/>
        <item x="1"/>
        <item x="12"/>
        <item x="3"/>
        <item x="8"/>
        <item x="16"/>
        <item x="14"/>
        <item x="15"/>
        <item x="11"/>
        <item x="18"/>
        <item x="10"/>
        <item x="13"/>
        <item x="7"/>
        <item x="9"/>
        <item x="6"/>
        <item x="5"/>
        <item x="0"/>
        <item x="4"/>
        <item t="default"/>
      </items>
    </pivotField>
  </pivotFields>
  <rowFields count="1">
    <field x="1"/>
  </rowFields>
  <rowItems count="5">
    <i>
      <x/>
    </i>
    <i>
      <x v="2"/>
    </i>
    <i>
      <x v="3"/>
    </i>
    <i>
      <x v="8"/>
    </i>
    <i>
      <x v="16"/>
    </i>
  </rowItems>
  <colItems count="1">
    <i/>
  </colItems>
  <dataFields count="1">
    <dataField name=" away from target % wise" fld="11" baseField="0" baseItem="0" numFmtId="10"/>
  </dataFields>
  <formats count="15">
    <format dxfId="40">
      <pivotArea type="all" dataOnly="0" outline="0" fieldPosition="0"/>
    </format>
    <format dxfId="39">
      <pivotArea outline="0" collapsedLevelsAreSubtotals="1" fieldPosition="0"/>
    </format>
    <format dxfId="38">
      <pivotArea field="1" type="button" dataOnly="0" labelOnly="1" outline="0" axis="axisRow" fieldPosition="0"/>
    </format>
    <format dxfId="37">
      <pivotArea dataOnly="0" labelOnly="1" fieldPosition="0">
        <references count="1">
          <reference field="1" count="4">
            <x v="2"/>
            <x v="12"/>
            <x v="15"/>
            <x v="19"/>
          </reference>
        </references>
      </pivotArea>
    </format>
    <format dxfId="36">
      <pivotArea dataOnly="0" labelOnly="1" outline="0" axis="axisValues" fieldPosition="0"/>
    </format>
    <format dxfId="35">
      <pivotArea type="all" dataOnly="0" outline="0" fieldPosition="0"/>
    </format>
    <format dxfId="34">
      <pivotArea outline="0" collapsedLevelsAreSubtotals="1" fieldPosition="0"/>
    </format>
    <format dxfId="33">
      <pivotArea field="1" type="button" dataOnly="0" labelOnly="1" outline="0" axis="axisRow" fieldPosition="0"/>
    </format>
    <format dxfId="32">
      <pivotArea dataOnly="0" labelOnly="1" fieldPosition="0">
        <references count="1">
          <reference field="1" count="4">
            <x v="2"/>
            <x v="12"/>
            <x v="15"/>
            <x v="19"/>
          </reference>
        </references>
      </pivotArea>
    </format>
    <format dxfId="31">
      <pivotArea dataOnly="0" labelOnly="1" outline="0" axis="axisValues" fieldPosition="0"/>
    </format>
    <format dxfId="30">
      <pivotArea type="all" dataOnly="0" outline="0" fieldPosition="0"/>
    </format>
    <format dxfId="29">
      <pivotArea outline="0" collapsedLevelsAreSubtotals="1" fieldPosition="0"/>
    </format>
    <format dxfId="28">
      <pivotArea field="1" type="button" dataOnly="0" labelOnly="1" outline="0" axis="axisRow" fieldPosition="0"/>
    </format>
    <format dxfId="27">
      <pivotArea dataOnly="0" labelOnly="1" fieldPosition="0">
        <references count="1">
          <reference field="1" count="4">
            <x v="2"/>
            <x v="12"/>
            <x v="15"/>
            <x v="19"/>
          </reference>
        </references>
      </pivotArea>
    </format>
    <format dxfId="2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2A228D7-B24B-0748-A87D-586C10ADD389}"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21">
        <item x="4"/>
        <item x="2"/>
        <item x="0"/>
        <item x="6"/>
        <item x="18"/>
        <item x="17"/>
        <item x="16"/>
        <item x="15"/>
        <item x="11"/>
        <item x="14"/>
        <item x="13"/>
        <item x="12"/>
        <item x="10"/>
        <item x="9"/>
        <item x="8"/>
        <item x="7"/>
        <item x="5"/>
        <item x="3"/>
        <item x="1"/>
        <item x="19"/>
        <item t="default"/>
      </items>
    </pivotField>
    <pivotField showAll="0">
      <items count="11">
        <item h="1" x="2"/>
        <item h="1" x="1"/>
        <item h="1" x="8"/>
        <item h="1" x="0"/>
        <item h="1" x="3"/>
        <item h="1" x="4"/>
        <item h="1" x="5"/>
        <item h="1" x="9"/>
        <item h="1" x="6"/>
        <item x="7"/>
        <item t="default"/>
      </items>
    </pivotField>
    <pivotField showAll="0"/>
    <pivotField showAll="0"/>
    <pivotField showAll="0"/>
    <pivotField showAll="0"/>
    <pivotField showAll="0"/>
    <pivotField showAll="0"/>
    <pivotField showAll="0"/>
    <pivotField dataField="1" numFmtId="10" showAll="0">
      <items count="22">
        <item x="4"/>
        <item x="0"/>
        <item x="5"/>
        <item x="6"/>
        <item x="9"/>
        <item x="7"/>
        <item x="13"/>
        <item x="10"/>
        <item x="18"/>
        <item x="11"/>
        <item x="15"/>
        <item x="14"/>
        <item x="16"/>
        <item x="8"/>
        <item x="3"/>
        <item x="12"/>
        <item x="1"/>
        <item x="20"/>
        <item x="17"/>
        <item x="19"/>
        <item x="2"/>
        <item t="default"/>
      </items>
    </pivotField>
    <pivotField numFmtId="10" showAll="0"/>
  </pivotFields>
  <rowFields count="1">
    <field x="1"/>
  </rowFields>
  <rowItems count="5">
    <i>
      <x v="1"/>
    </i>
    <i>
      <x v="4"/>
    </i>
    <i>
      <x v="6"/>
    </i>
    <i>
      <x v="8"/>
    </i>
    <i>
      <x v="19"/>
    </i>
  </rowItems>
  <colItems count="1">
    <i/>
  </colItems>
  <dataFields count="1">
    <dataField name="target hit % wise" fld="10" baseField="0" baseItem="0" numFmtId="10"/>
  </dataFields>
  <formats count="15">
    <format dxfId="55">
      <pivotArea type="all" dataOnly="0" outline="0" fieldPosition="0"/>
    </format>
    <format dxfId="54">
      <pivotArea outline="0" collapsedLevelsAreSubtotals="1" fieldPosition="0"/>
    </format>
    <format dxfId="53">
      <pivotArea field="1" type="button" dataOnly="0" labelOnly="1" outline="0" axis="axisRow" fieldPosition="0"/>
    </format>
    <format dxfId="52">
      <pivotArea dataOnly="0" labelOnly="1" fieldPosition="0">
        <references count="1">
          <reference field="1" count="4">
            <x v="2"/>
            <x v="12"/>
            <x v="15"/>
            <x v="19"/>
          </reference>
        </references>
      </pivotArea>
    </format>
    <format dxfId="51">
      <pivotArea dataOnly="0" labelOnly="1" outline="0" axis="axisValues" fieldPosition="0"/>
    </format>
    <format dxfId="50">
      <pivotArea type="all" dataOnly="0" outline="0" fieldPosition="0"/>
    </format>
    <format dxfId="49">
      <pivotArea outline="0" collapsedLevelsAreSubtotals="1" fieldPosition="0"/>
    </format>
    <format dxfId="48">
      <pivotArea field="1" type="button" dataOnly="0" labelOnly="1" outline="0" axis="axisRow" fieldPosition="0"/>
    </format>
    <format dxfId="47">
      <pivotArea dataOnly="0" labelOnly="1" fieldPosition="0">
        <references count="1">
          <reference field="1" count="4">
            <x v="2"/>
            <x v="12"/>
            <x v="15"/>
            <x v="19"/>
          </reference>
        </references>
      </pivotArea>
    </format>
    <format dxfId="46">
      <pivotArea dataOnly="0" labelOnly="1" outline="0" axis="axisValues" fieldPosition="0"/>
    </format>
    <format dxfId="45">
      <pivotArea type="all" dataOnly="0" outline="0" fieldPosition="0"/>
    </format>
    <format dxfId="44">
      <pivotArea outline="0" collapsedLevelsAreSubtotals="1" fieldPosition="0"/>
    </format>
    <format dxfId="43">
      <pivotArea field="1" type="button" dataOnly="0" labelOnly="1" outline="0" axis="axisRow" fieldPosition="0"/>
    </format>
    <format dxfId="42">
      <pivotArea dataOnly="0" labelOnly="1" fieldPosition="0">
        <references count="1">
          <reference field="1" count="4">
            <x v="2"/>
            <x v="12"/>
            <x v="15"/>
            <x v="19"/>
          </reference>
        </references>
      </pivotArea>
    </format>
    <format dxfId="41">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4"/>
          </reference>
        </references>
      </pivotArea>
    </chartFormat>
    <chartFormat chart="0" format="3">
      <pivotArea type="data" outline="0" fieldPosition="0">
        <references count="2">
          <reference field="4294967294" count="1" selected="0">
            <x v="0"/>
          </reference>
          <reference field="1" count="1" selected="0">
            <x v="6"/>
          </reference>
        </references>
      </pivotArea>
    </chartFormat>
    <chartFormat chart="0" format="4">
      <pivotArea type="data" outline="0" fieldPosition="0">
        <references count="2">
          <reference field="4294967294" count="1" selected="0">
            <x v="0"/>
          </reference>
          <reference field="1" count="1" selected="0">
            <x v="8"/>
          </reference>
        </references>
      </pivotArea>
    </chartFormat>
    <chartFormat chart="0" format="5">
      <pivotArea type="data" outline="0" fieldPosition="0">
        <references count="2">
          <reference field="4294967294" count="1" selected="0">
            <x v="0"/>
          </reference>
          <reference field="1" count="1" selected="0">
            <x v="19"/>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9331906-37A4-104A-9FF9-24597C09ACE7}" sourceName="Region">
  <data>
    <tabular pivotCacheId="477601534">
      <items count="10">
        <i x="2"/>
        <i x="1" s="1"/>
        <i x="8"/>
        <i x="0"/>
        <i x="3"/>
        <i x="4"/>
        <i x="5"/>
        <i x="9"/>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1036200-F471-1744-BA84-03ADD43E6A9A}" cache="Slicer_Region" caption="Region" columnCount="10" showCaption="0" style="SlicerStyleDark1"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05A53-EF6D-4745-B388-2D0522181141}">
  <sheetPr codeName="Sheet1"/>
  <dimension ref="A1:Q25"/>
  <sheetViews>
    <sheetView showGridLines="0" showRowColHeaders="0" tabSelected="1" zoomScale="157" workbookViewId="0">
      <selection activeCell="P14" sqref="P14"/>
    </sheetView>
  </sheetViews>
  <sheetFormatPr baseColWidth="10" defaultRowHeight="16" x14ac:dyDescent="0.2"/>
  <cols>
    <col min="1" max="1" width="17" bestFit="1" customWidth="1"/>
    <col min="2" max="2" width="10.1640625" bestFit="1" customWidth="1"/>
    <col min="3" max="3" width="4.33203125" customWidth="1"/>
    <col min="4" max="4" width="16.1640625" customWidth="1"/>
    <col min="5" max="5" width="13.83203125" customWidth="1"/>
    <col min="6" max="6" width="4.33203125" customWidth="1"/>
    <col min="7" max="7" width="14.5" bestFit="1" customWidth="1"/>
    <col min="8" max="8" width="15.1640625" bestFit="1" customWidth="1"/>
    <col min="9" max="9" width="4.33203125" customWidth="1"/>
    <col min="10" max="10" width="14.83203125" customWidth="1"/>
    <col min="11" max="11" width="23.1640625" customWidth="1"/>
  </cols>
  <sheetData>
    <row r="1" spans="1:17" ht="54" customHeight="1" x14ac:dyDescent="0.2">
      <c r="A1" s="19" t="b">
        <v>0</v>
      </c>
      <c r="B1" s="19"/>
      <c r="C1" s="19"/>
      <c r="D1" s="19" t="b">
        <v>0</v>
      </c>
      <c r="E1" s="19"/>
      <c r="F1" s="19"/>
      <c r="G1" s="19" t="b">
        <v>0</v>
      </c>
      <c r="H1" s="19"/>
      <c r="I1" s="19"/>
      <c r="J1" s="19" t="b">
        <v>0</v>
      </c>
      <c r="K1" s="19"/>
      <c r="L1" s="9"/>
    </row>
    <row r="2" spans="1:17" ht="53" customHeight="1" x14ac:dyDescent="0.2">
      <c r="A2" s="11"/>
      <c r="B2" s="11"/>
      <c r="C2" s="11"/>
      <c r="D2" s="11"/>
      <c r="E2" s="12"/>
      <c r="F2" s="11"/>
      <c r="G2" s="11"/>
      <c r="H2" s="11"/>
      <c r="I2" s="11"/>
      <c r="J2" s="11"/>
      <c r="K2" s="11"/>
      <c r="L2" s="11"/>
    </row>
    <row r="3" spans="1:17" x14ac:dyDescent="0.2">
      <c r="A3" s="13" t="s">
        <v>63</v>
      </c>
      <c r="B3" s="13" t="s">
        <v>64</v>
      </c>
      <c r="C3" s="10"/>
      <c r="D3" s="17" t="s">
        <v>63</v>
      </c>
      <c r="E3" s="13" t="s">
        <v>64</v>
      </c>
      <c r="F3" s="10"/>
      <c r="G3" s="17" t="s">
        <v>1</v>
      </c>
      <c r="H3" s="13" t="s">
        <v>65</v>
      </c>
      <c r="I3" s="10"/>
      <c r="J3" s="17" t="s">
        <v>1</v>
      </c>
      <c r="K3" s="13" t="s">
        <v>66</v>
      </c>
      <c r="L3" s="9"/>
    </row>
    <row r="4" spans="1:17" x14ac:dyDescent="0.2">
      <c r="A4" s="14" t="s">
        <v>35</v>
      </c>
      <c r="B4" s="15">
        <v>437</v>
      </c>
      <c r="C4" s="10"/>
      <c r="D4" s="18" t="s">
        <v>37</v>
      </c>
      <c r="E4" s="15">
        <v>209</v>
      </c>
      <c r="F4" s="10"/>
      <c r="G4" s="18" t="s">
        <v>35</v>
      </c>
      <c r="H4" s="16">
        <v>0.874</v>
      </c>
      <c r="I4" s="10"/>
      <c r="J4" s="18" t="s">
        <v>37</v>
      </c>
      <c r="K4" s="16">
        <v>0.58200000000000007</v>
      </c>
      <c r="L4" s="9"/>
      <c r="Q4" s="13"/>
    </row>
    <row r="5" spans="1:17" x14ac:dyDescent="0.2">
      <c r="A5" s="14" t="s">
        <v>51</v>
      </c>
      <c r="B5" s="15">
        <v>409</v>
      </c>
      <c r="C5" s="10"/>
      <c r="D5" s="18" t="s">
        <v>33</v>
      </c>
      <c r="E5" s="15">
        <v>224</v>
      </c>
      <c r="F5" s="10"/>
      <c r="G5" s="18" t="s">
        <v>51</v>
      </c>
      <c r="H5" s="16">
        <v>0.81799999999999995</v>
      </c>
      <c r="I5" s="10"/>
      <c r="J5" s="18" t="s">
        <v>33</v>
      </c>
      <c r="K5" s="16">
        <v>0.55200000000000005</v>
      </c>
      <c r="L5" s="9"/>
      <c r="Q5" s="13"/>
    </row>
    <row r="6" spans="1:17" x14ac:dyDescent="0.2">
      <c r="A6" s="14" t="s">
        <v>49</v>
      </c>
      <c r="B6" s="15">
        <v>391</v>
      </c>
      <c r="C6" s="10"/>
      <c r="D6" s="18" t="s">
        <v>39</v>
      </c>
      <c r="E6" s="15">
        <v>230</v>
      </c>
      <c r="F6" s="10"/>
      <c r="G6" s="18" t="s">
        <v>49</v>
      </c>
      <c r="H6" s="16">
        <v>0.78200000000000003</v>
      </c>
      <c r="I6" s="10"/>
      <c r="J6" s="18" t="s">
        <v>39</v>
      </c>
      <c r="K6" s="16">
        <v>0.54</v>
      </c>
      <c r="L6" s="9"/>
      <c r="Q6" s="13"/>
    </row>
    <row r="7" spans="1:17" x14ac:dyDescent="0.2">
      <c r="A7" s="14" t="s">
        <v>44</v>
      </c>
      <c r="B7" s="15">
        <v>636</v>
      </c>
      <c r="C7" s="10"/>
      <c r="D7" s="18" t="s">
        <v>42</v>
      </c>
      <c r="E7" s="15">
        <v>251</v>
      </c>
      <c r="F7" s="10"/>
      <c r="G7" s="18" t="s">
        <v>44</v>
      </c>
      <c r="H7" s="16">
        <v>1.272</v>
      </c>
      <c r="I7" s="10"/>
      <c r="J7" s="18" t="s">
        <v>44</v>
      </c>
      <c r="K7" s="16">
        <v>0.72799999999999998</v>
      </c>
      <c r="L7" s="9"/>
      <c r="Q7" s="13"/>
    </row>
    <row r="8" spans="1:17" x14ac:dyDescent="0.2">
      <c r="A8" s="14" t="s">
        <v>52</v>
      </c>
      <c r="B8" s="15">
        <v>367</v>
      </c>
      <c r="C8" s="10"/>
      <c r="D8" s="18" t="s">
        <v>38</v>
      </c>
      <c r="E8" s="15">
        <v>225</v>
      </c>
      <c r="F8" s="10"/>
      <c r="G8" s="18" t="s">
        <v>52</v>
      </c>
      <c r="H8" s="16">
        <v>0.73399999999999999</v>
      </c>
      <c r="I8" s="10"/>
      <c r="J8" s="18" t="s">
        <v>38</v>
      </c>
      <c r="K8" s="16">
        <v>0.55000000000000004</v>
      </c>
      <c r="L8" s="9"/>
      <c r="Q8" s="13"/>
    </row>
    <row r="9" spans="1:17" x14ac:dyDescent="0.2">
      <c r="A9" s="9"/>
      <c r="B9" s="9"/>
      <c r="C9" s="9"/>
      <c r="D9" s="9"/>
      <c r="E9" s="9"/>
      <c r="F9" s="9"/>
      <c r="G9" s="9"/>
      <c r="H9" s="9"/>
      <c r="I9" s="9"/>
      <c r="J9" s="9"/>
      <c r="K9" s="9"/>
      <c r="L9" s="9"/>
      <c r="Q9" s="13"/>
    </row>
    <row r="10" spans="1:17" x14ac:dyDescent="0.2">
      <c r="A10" s="9"/>
      <c r="B10" s="9"/>
      <c r="C10" s="9"/>
      <c r="D10" s="9"/>
      <c r="E10" s="9"/>
      <c r="F10" s="9"/>
      <c r="G10" s="9"/>
      <c r="H10" s="9"/>
      <c r="I10" s="9"/>
      <c r="J10" s="9"/>
      <c r="K10" s="9"/>
      <c r="L10" s="9"/>
      <c r="N10" s="13"/>
    </row>
    <row r="11" spans="1:17" x14ac:dyDescent="0.2">
      <c r="A11" s="9"/>
      <c r="B11" s="9"/>
      <c r="C11" s="9"/>
      <c r="D11" s="9"/>
      <c r="E11" s="9"/>
      <c r="F11" s="9"/>
      <c r="G11" s="9"/>
      <c r="H11" s="9"/>
      <c r="I11" s="9"/>
      <c r="J11" s="9"/>
      <c r="K11" s="9"/>
      <c r="L11" s="9"/>
      <c r="N11" s="13"/>
    </row>
    <row r="12" spans="1:17" x14ac:dyDescent="0.2">
      <c r="A12" s="9"/>
      <c r="B12" s="9"/>
      <c r="C12" s="9"/>
      <c r="D12" s="9"/>
      <c r="E12" s="9"/>
      <c r="F12" s="9"/>
      <c r="G12" s="9"/>
      <c r="H12" s="9"/>
      <c r="I12" s="9"/>
      <c r="J12" s="9"/>
      <c r="K12" s="9"/>
      <c r="L12" s="9"/>
      <c r="N12" s="13"/>
      <c r="Q12" s="13"/>
    </row>
    <row r="13" spans="1:17" x14ac:dyDescent="0.2">
      <c r="A13" s="9"/>
      <c r="B13" s="9"/>
      <c r="C13" s="9"/>
      <c r="D13" s="9"/>
      <c r="E13" s="9"/>
      <c r="F13" s="9"/>
      <c r="G13" s="9"/>
      <c r="H13" s="9"/>
      <c r="I13" s="9"/>
      <c r="J13" s="9"/>
      <c r="K13" s="9"/>
      <c r="L13" s="9"/>
      <c r="N13" s="13"/>
      <c r="Q13" s="13"/>
    </row>
    <row r="14" spans="1:17" x14ac:dyDescent="0.2">
      <c r="A14" s="9"/>
      <c r="B14" s="9"/>
      <c r="C14" s="9"/>
      <c r="D14" s="9"/>
      <c r="E14" s="9"/>
      <c r="F14" s="9"/>
      <c r="G14" s="9"/>
      <c r="H14" s="9"/>
      <c r="I14" s="9"/>
      <c r="J14" s="9"/>
      <c r="K14" s="9"/>
      <c r="L14" s="9"/>
      <c r="N14" s="13"/>
      <c r="Q14" s="13"/>
    </row>
    <row r="15" spans="1:17" x14ac:dyDescent="0.2">
      <c r="A15" s="9"/>
      <c r="B15" s="9"/>
      <c r="C15" s="9"/>
      <c r="D15" s="9"/>
      <c r="E15" s="9"/>
      <c r="F15" s="9"/>
      <c r="G15" s="9"/>
      <c r="H15" s="9"/>
      <c r="I15" s="9"/>
      <c r="J15" s="9"/>
      <c r="K15" s="9"/>
      <c r="L15" s="9"/>
      <c r="Q15" s="13"/>
    </row>
    <row r="16" spans="1:17" x14ac:dyDescent="0.2">
      <c r="A16" s="9"/>
      <c r="B16" s="9"/>
      <c r="C16" s="9"/>
      <c r="D16" s="9"/>
      <c r="E16" s="9"/>
      <c r="F16" s="9"/>
      <c r="G16" s="9"/>
      <c r="H16" s="9"/>
      <c r="I16" s="9"/>
      <c r="J16" s="9"/>
      <c r="K16" s="9"/>
      <c r="L16" s="9"/>
      <c r="Q16" s="13"/>
    </row>
    <row r="17" spans="1:17" x14ac:dyDescent="0.2">
      <c r="A17" s="9"/>
      <c r="B17" s="9"/>
      <c r="C17" s="9"/>
      <c r="D17" s="9"/>
      <c r="E17" s="9"/>
      <c r="F17" s="9"/>
      <c r="G17" s="9"/>
      <c r="H17" s="9"/>
      <c r="I17" s="9"/>
      <c r="J17" s="9"/>
      <c r="K17" s="9"/>
      <c r="L17" s="9"/>
      <c r="Q17" s="13"/>
    </row>
    <row r="18" spans="1:17" x14ac:dyDescent="0.2">
      <c r="A18" s="9"/>
      <c r="B18" s="9"/>
      <c r="C18" s="9"/>
      <c r="D18" s="9"/>
      <c r="E18" s="9"/>
      <c r="F18" s="9"/>
      <c r="G18" s="9"/>
      <c r="H18" s="9"/>
      <c r="I18" s="9"/>
      <c r="J18" s="9"/>
      <c r="K18" s="9"/>
      <c r="L18" s="9"/>
    </row>
    <row r="19" spans="1:17" x14ac:dyDescent="0.2">
      <c r="A19" s="9"/>
      <c r="B19" s="9"/>
      <c r="C19" s="9"/>
      <c r="D19" s="9"/>
      <c r="E19" s="9"/>
      <c r="F19" s="9"/>
      <c r="G19" s="9"/>
      <c r="H19" s="9"/>
      <c r="I19" s="9"/>
      <c r="J19" s="9"/>
      <c r="K19" s="9"/>
      <c r="L19" s="9"/>
    </row>
    <row r="20" spans="1:17" x14ac:dyDescent="0.2">
      <c r="A20" s="9"/>
      <c r="B20" s="9"/>
      <c r="C20" s="9"/>
      <c r="D20" s="9"/>
      <c r="E20" s="9"/>
      <c r="F20" s="9"/>
      <c r="G20" s="9"/>
      <c r="H20" s="9"/>
      <c r="I20" s="9"/>
      <c r="J20" s="9"/>
      <c r="K20" s="9"/>
      <c r="L20" s="9"/>
    </row>
    <row r="21" spans="1:17" x14ac:dyDescent="0.2">
      <c r="A21" s="9"/>
      <c r="B21" s="9"/>
      <c r="C21" s="9"/>
      <c r="D21" s="9"/>
      <c r="E21" s="9"/>
      <c r="F21" s="9"/>
      <c r="G21" s="9"/>
      <c r="H21" s="9"/>
      <c r="I21" s="9"/>
      <c r="J21" s="9"/>
      <c r="K21" s="9"/>
      <c r="L21" s="9"/>
    </row>
    <row r="25" spans="1:17" x14ac:dyDescent="0.2">
      <c r="G25"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3</xdr:col>
                    <xdr:colOff>685800</xdr:colOff>
                    <xdr:row>1</xdr:row>
                    <xdr:rowOff>152400</xdr:rowOff>
                  </from>
                  <to>
                    <xdr:col>4</xdr:col>
                    <xdr:colOff>977900</xdr:colOff>
                    <xdr:row>1</xdr:row>
                    <xdr:rowOff>533400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
                <anchor moveWithCells="1">
                  <from>
                    <xdr:col>6</xdr:col>
                    <xdr:colOff>292100</xdr:colOff>
                    <xdr:row>1</xdr:row>
                    <xdr:rowOff>139700</xdr:rowOff>
                  </from>
                  <to>
                    <xdr:col>7</xdr:col>
                    <xdr:colOff>711200</xdr:colOff>
                    <xdr:row>1</xdr:row>
                    <xdr:rowOff>520700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9</xdr:col>
                    <xdr:colOff>698500</xdr:colOff>
                    <xdr:row>1</xdr:row>
                    <xdr:rowOff>152400</xdr:rowOff>
                  </from>
                  <to>
                    <xdr:col>10</xdr:col>
                    <xdr:colOff>1092200</xdr:colOff>
                    <xdr:row>1</xdr:row>
                    <xdr:rowOff>533400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0</xdr:col>
                    <xdr:colOff>444500</xdr:colOff>
                    <xdr:row>1</xdr:row>
                    <xdr:rowOff>139700</xdr:rowOff>
                  </from>
                  <to>
                    <xdr:col>1</xdr:col>
                    <xdr:colOff>673100</xdr:colOff>
                    <xdr:row>1</xdr:row>
                    <xdr:rowOff>520700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20F6D-8358-184F-9D65-0C1AB5AD9B7F}">
  <dimension ref="I21:I25"/>
  <sheetViews>
    <sheetView workbookViewId="0">
      <selection activeCell="J21" sqref="J21"/>
    </sheetView>
  </sheetViews>
  <sheetFormatPr baseColWidth="10" defaultRowHeight="16" x14ac:dyDescent="0.2"/>
  <sheetData>
    <row r="21" spans="9:9" x14ac:dyDescent="0.2">
      <c r="I21" s="13"/>
    </row>
    <row r="22" spans="9:9" x14ac:dyDescent="0.2">
      <c r="I22" s="13"/>
    </row>
    <row r="23" spans="9:9" x14ac:dyDescent="0.2">
      <c r="I23" s="13"/>
    </row>
    <row r="24" spans="9:9" x14ac:dyDescent="0.2">
      <c r="I24" s="13"/>
    </row>
    <row r="25" spans="9:9" x14ac:dyDescent="0.2">
      <c r="I25" s="1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AB3FD-257B-E84A-9821-26EAB93AAB0F}">
  <sheetPr codeName="Sheet2"/>
  <dimension ref="A1:L22"/>
  <sheetViews>
    <sheetView zoomScale="150" workbookViewId="0">
      <selection activeCell="A2" sqref="A1:L22"/>
    </sheetView>
  </sheetViews>
  <sheetFormatPr baseColWidth="10" defaultRowHeight="16" x14ac:dyDescent="0.2"/>
  <cols>
    <col min="1" max="1" width="14" customWidth="1"/>
    <col min="2" max="2" width="18.33203125" bestFit="1" customWidth="1"/>
    <col min="3" max="3" width="17.33203125" style="3" customWidth="1"/>
    <col min="9" max="9" width="11.1640625" customWidth="1"/>
    <col min="12" max="12" width="17.83203125" bestFit="1" customWidth="1"/>
  </cols>
  <sheetData>
    <row r="1" spans="1:12" x14ac:dyDescent="0.2">
      <c r="A1" s="1" t="s">
        <v>0</v>
      </c>
      <c r="B1" s="4" t="s">
        <v>1</v>
      </c>
      <c r="C1" s="2" t="s">
        <v>2</v>
      </c>
      <c r="D1" s="4" t="s">
        <v>3</v>
      </c>
      <c r="E1" s="4" t="s">
        <v>4</v>
      </c>
      <c r="F1" s="5" t="s">
        <v>7</v>
      </c>
      <c r="G1" s="4" t="s">
        <v>5</v>
      </c>
      <c r="H1" s="4" t="s">
        <v>6</v>
      </c>
      <c r="I1" s="4" t="s">
        <v>8</v>
      </c>
      <c r="J1" s="4" t="s">
        <v>9</v>
      </c>
      <c r="K1" s="4" t="s">
        <v>10</v>
      </c>
      <c r="L1" s="4" t="s">
        <v>11</v>
      </c>
    </row>
    <row r="2" spans="1:12" x14ac:dyDescent="0.2">
      <c r="A2" t="s">
        <v>12</v>
      </c>
      <c r="B2" s="5" t="s">
        <v>33</v>
      </c>
      <c r="C2" s="3" t="s">
        <v>53</v>
      </c>
      <c r="D2">
        <v>45</v>
      </c>
      <c r="E2">
        <v>34</v>
      </c>
      <c r="F2">
        <v>45</v>
      </c>
      <c r="G2">
        <v>56</v>
      </c>
      <c r="H2">
        <v>44</v>
      </c>
      <c r="I2" s="6">
        <f>SUM(D2:H2)</f>
        <v>224</v>
      </c>
      <c r="J2" s="6">
        <v>500</v>
      </c>
      <c r="K2" s="7">
        <f>I2/J2</f>
        <v>0.44800000000000001</v>
      </c>
      <c r="L2" s="8">
        <f>1-K2</f>
        <v>0.55200000000000005</v>
      </c>
    </row>
    <row r="3" spans="1:12" x14ac:dyDescent="0.2">
      <c r="A3" t="s">
        <v>13</v>
      </c>
      <c r="B3" s="5" t="s">
        <v>34</v>
      </c>
      <c r="C3" s="3" t="s">
        <v>54</v>
      </c>
      <c r="D3">
        <v>67</v>
      </c>
      <c r="E3">
        <v>56</v>
      </c>
      <c r="F3">
        <v>89</v>
      </c>
      <c r="G3">
        <v>98</v>
      </c>
      <c r="H3">
        <v>55</v>
      </c>
      <c r="I3">
        <f t="shared" ref="I3:I22" si="0">SUM(D3:H3)</f>
        <v>365</v>
      </c>
      <c r="J3">
        <v>500</v>
      </c>
      <c r="K3" s="7">
        <f t="shared" ref="K3:K22" si="1">I3/J3</f>
        <v>0.73</v>
      </c>
      <c r="L3" s="8">
        <f t="shared" ref="L3:L22" si="2">1-K3</f>
        <v>0.27</v>
      </c>
    </row>
    <row r="4" spans="1:12" x14ac:dyDescent="0.2">
      <c r="A4" t="s">
        <v>14</v>
      </c>
      <c r="B4" s="5" t="s">
        <v>35</v>
      </c>
      <c r="C4" s="3" t="s">
        <v>55</v>
      </c>
      <c r="D4">
        <v>89</v>
      </c>
      <c r="E4">
        <v>90</v>
      </c>
      <c r="F4">
        <v>90</v>
      </c>
      <c r="G4">
        <v>79</v>
      </c>
      <c r="H4">
        <v>89</v>
      </c>
      <c r="I4">
        <f t="shared" si="0"/>
        <v>437</v>
      </c>
      <c r="J4">
        <v>500</v>
      </c>
      <c r="K4" s="7">
        <f t="shared" si="1"/>
        <v>0.874</v>
      </c>
      <c r="L4" s="8">
        <f t="shared" si="2"/>
        <v>0.126</v>
      </c>
    </row>
    <row r="5" spans="1:12" x14ac:dyDescent="0.2">
      <c r="A5" t="s">
        <v>15</v>
      </c>
      <c r="B5" s="5" t="s">
        <v>36</v>
      </c>
      <c r="C5" s="3" t="s">
        <v>56</v>
      </c>
      <c r="D5">
        <v>65</v>
      </c>
      <c r="E5">
        <v>55</v>
      </c>
      <c r="F5">
        <v>80</v>
      </c>
      <c r="G5">
        <v>70</v>
      </c>
      <c r="H5">
        <v>87</v>
      </c>
      <c r="I5">
        <f t="shared" si="0"/>
        <v>357</v>
      </c>
      <c r="J5">
        <v>500</v>
      </c>
      <c r="K5" s="7">
        <f t="shared" si="1"/>
        <v>0.71399999999999997</v>
      </c>
      <c r="L5" s="8">
        <f t="shared" si="2"/>
        <v>0.28600000000000003</v>
      </c>
    </row>
    <row r="6" spans="1:12" x14ac:dyDescent="0.2">
      <c r="A6" t="s">
        <v>16</v>
      </c>
      <c r="B6" s="5" t="s">
        <v>37</v>
      </c>
      <c r="C6" s="3" t="s">
        <v>57</v>
      </c>
      <c r="D6">
        <v>34</v>
      </c>
      <c r="E6">
        <v>23</v>
      </c>
      <c r="F6">
        <v>40</v>
      </c>
      <c r="G6">
        <v>34</v>
      </c>
      <c r="H6">
        <v>78</v>
      </c>
      <c r="I6">
        <f t="shared" si="0"/>
        <v>209</v>
      </c>
      <c r="J6">
        <v>500</v>
      </c>
      <c r="K6" s="7">
        <f t="shared" si="1"/>
        <v>0.41799999999999998</v>
      </c>
      <c r="L6" s="8">
        <f t="shared" si="2"/>
        <v>0.58200000000000007</v>
      </c>
    </row>
    <row r="7" spans="1:12" x14ac:dyDescent="0.2">
      <c r="A7" t="s">
        <v>17</v>
      </c>
      <c r="B7" s="5" t="s">
        <v>38</v>
      </c>
      <c r="C7" s="3" t="s">
        <v>58</v>
      </c>
      <c r="D7">
        <v>23</v>
      </c>
      <c r="E7">
        <v>56</v>
      </c>
      <c r="F7">
        <v>33</v>
      </c>
      <c r="G7">
        <v>23</v>
      </c>
      <c r="H7">
        <v>90</v>
      </c>
      <c r="I7">
        <f t="shared" si="0"/>
        <v>225</v>
      </c>
      <c r="J7">
        <v>500</v>
      </c>
      <c r="K7" s="7">
        <f t="shared" si="1"/>
        <v>0.45</v>
      </c>
      <c r="L7" s="8">
        <f t="shared" si="2"/>
        <v>0.55000000000000004</v>
      </c>
    </row>
    <row r="8" spans="1:12" x14ac:dyDescent="0.2">
      <c r="A8" t="s">
        <v>18</v>
      </c>
      <c r="B8" s="5" t="s">
        <v>39</v>
      </c>
      <c r="C8" s="3" t="s">
        <v>59</v>
      </c>
      <c r="D8">
        <v>56</v>
      </c>
      <c r="E8">
        <v>98</v>
      </c>
      <c r="F8">
        <v>44</v>
      </c>
      <c r="G8">
        <v>12</v>
      </c>
      <c r="H8">
        <v>20</v>
      </c>
      <c r="I8">
        <f t="shared" si="0"/>
        <v>230</v>
      </c>
      <c r="J8">
        <v>500</v>
      </c>
      <c r="K8" s="7">
        <f t="shared" si="1"/>
        <v>0.46</v>
      </c>
      <c r="L8" s="8">
        <f t="shared" si="2"/>
        <v>0.54</v>
      </c>
    </row>
    <row r="9" spans="1:12" x14ac:dyDescent="0.2">
      <c r="A9" t="s">
        <v>19</v>
      </c>
      <c r="B9" s="5" t="s">
        <v>40</v>
      </c>
      <c r="C9" s="3" t="s">
        <v>53</v>
      </c>
      <c r="D9">
        <v>90</v>
      </c>
      <c r="E9">
        <v>67</v>
      </c>
      <c r="F9">
        <v>23</v>
      </c>
      <c r="G9">
        <v>78</v>
      </c>
      <c r="H9">
        <v>10</v>
      </c>
      <c r="I9">
        <f t="shared" si="0"/>
        <v>268</v>
      </c>
      <c r="J9">
        <v>500</v>
      </c>
      <c r="K9" s="7">
        <f t="shared" si="1"/>
        <v>0.53600000000000003</v>
      </c>
      <c r="L9" s="8">
        <f t="shared" si="2"/>
        <v>0.46399999999999997</v>
      </c>
    </row>
    <row r="10" spans="1:12" x14ac:dyDescent="0.2">
      <c r="A10" t="s">
        <v>20</v>
      </c>
      <c r="B10" s="5" t="s">
        <v>41</v>
      </c>
      <c r="C10" s="3" t="s">
        <v>54</v>
      </c>
      <c r="D10">
        <v>56</v>
      </c>
      <c r="E10">
        <v>87</v>
      </c>
      <c r="F10">
        <v>45</v>
      </c>
      <c r="G10">
        <v>84</v>
      </c>
      <c r="H10">
        <v>65</v>
      </c>
      <c r="I10">
        <f t="shared" si="0"/>
        <v>337</v>
      </c>
      <c r="J10">
        <v>500</v>
      </c>
      <c r="K10" s="7">
        <f t="shared" si="1"/>
        <v>0.67400000000000004</v>
      </c>
      <c r="L10" s="8">
        <f t="shared" si="2"/>
        <v>0.32599999999999996</v>
      </c>
    </row>
    <row r="11" spans="1:12" x14ac:dyDescent="0.2">
      <c r="A11" t="s">
        <v>21</v>
      </c>
      <c r="B11" s="5" t="s">
        <v>42</v>
      </c>
      <c r="C11" s="3" t="s">
        <v>56</v>
      </c>
      <c r="D11">
        <v>33</v>
      </c>
      <c r="E11">
        <v>34</v>
      </c>
      <c r="F11">
        <v>39</v>
      </c>
      <c r="G11">
        <v>67</v>
      </c>
      <c r="H11">
        <v>78</v>
      </c>
      <c r="I11">
        <f t="shared" si="0"/>
        <v>251</v>
      </c>
      <c r="J11">
        <v>500</v>
      </c>
      <c r="K11" s="7">
        <f t="shared" si="1"/>
        <v>0.502</v>
      </c>
      <c r="L11" s="8">
        <f t="shared" si="2"/>
        <v>0.498</v>
      </c>
    </row>
    <row r="12" spans="1:12" x14ac:dyDescent="0.2">
      <c r="A12" t="s">
        <v>22</v>
      </c>
      <c r="B12" s="5" t="s">
        <v>43</v>
      </c>
      <c r="C12" s="3" t="s">
        <v>53</v>
      </c>
      <c r="D12">
        <v>34</v>
      </c>
      <c r="E12">
        <v>23</v>
      </c>
      <c r="F12">
        <v>89</v>
      </c>
      <c r="G12">
        <v>87</v>
      </c>
      <c r="H12">
        <v>53</v>
      </c>
      <c r="I12">
        <f t="shared" si="0"/>
        <v>286</v>
      </c>
      <c r="J12">
        <v>500</v>
      </c>
      <c r="K12" s="7">
        <f t="shared" si="1"/>
        <v>0.57199999999999995</v>
      </c>
      <c r="L12" s="8">
        <f t="shared" si="2"/>
        <v>0.42800000000000005</v>
      </c>
    </row>
    <row r="13" spans="1:12" x14ac:dyDescent="0.2">
      <c r="A13" t="s">
        <v>23</v>
      </c>
      <c r="B13" s="5" t="s">
        <v>44</v>
      </c>
      <c r="C13" s="3" t="s">
        <v>60</v>
      </c>
      <c r="D13">
        <v>89</v>
      </c>
      <c r="E13">
        <v>21</v>
      </c>
      <c r="F13">
        <v>77</v>
      </c>
      <c r="G13">
        <v>87</v>
      </c>
      <c r="H13">
        <v>32</v>
      </c>
      <c r="I13">
        <f t="shared" si="0"/>
        <v>306</v>
      </c>
      <c r="J13">
        <v>500</v>
      </c>
      <c r="K13" s="7">
        <f t="shared" si="1"/>
        <v>0.61199999999999999</v>
      </c>
      <c r="L13" s="8">
        <f t="shared" si="2"/>
        <v>0.38800000000000001</v>
      </c>
    </row>
    <row r="14" spans="1:12" x14ac:dyDescent="0.2">
      <c r="A14" t="s">
        <v>24</v>
      </c>
      <c r="B14" s="5" t="s">
        <v>45</v>
      </c>
      <c r="C14" s="3" t="s">
        <v>59</v>
      </c>
      <c r="D14">
        <v>99</v>
      </c>
      <c r="E14">
        <v>22</v>
      </c>
      <c r="F14">
        <v>54</v>
      </c>
      <c r="G14">
        <v>90</v>
      </c>
      <c r="H14">
        <v>98</v>
      </c>
      <c r="I14">
        <f t="shared" si="0"/>
        <v>363</v>
      </c>
      <c r="J14">
        <v>500</v>
      </c>
      <c r="K14" s="7">
        <f t="shared" si="1"/>
        <v>0.72599999999999998</v>
      </c>
      <c r="L14" s="8">
        <f t="shared" si="2"/>
        <v>0.27400000000000002</v>
      </c>
    </row>
    <row r="15" spans="1:12" x14ac:dyDescent="0.2">
      <c r="A15" t="s">
        <v>25</v>
      </c>
      <c r="B15" s="5" t="s">
        <v>46</v>
      </c>
      <c r="C15" s="3" t="s">
        <v>57</v>
      </c>
      <c r="D15">
        <v>56</v>
      </c>
      <c r="E15">
        <v>11</v>
      </c>
      <c r="F15">
        <v>89</v>
      </c>
      <c r="G15">
        <v>34</v>
      </c>
      <c r="H15">
        <v>89</v>
      </c>
      <c r="I15">
        <f t="shared" si="0"/>
        <v>279</v>
      </c>
      <c r="J15">
        <v>500</v>
      </c>
      <c r="K15" s="7">
        <f t="shared" si="1"/>
        <v>0.55800000000000005</v>
      </c>
      <c r="L15" s="8">
        <f t="shared" si="2"/>
        <v>0.44199999999999995</v>
      </c>
    </row>
    <row r="16" spans="1:12" x14ac:dyDescent="0.2">
      <c r="A16" t="s">
        <v>26</v>
      </c>
      <c r="B16" s="5" t="s">
        <v>47</v>
      </c>
      <c r="C16" s="3" t="s">
        <v>58</v>
      </c>
      <c r="D16">
        <v>55</v>
      </c>
      <c r="E16">
        <v>45</v>
      </c>
      <c r="F16">
        <v>80</v>
      </c>
      <c r="G16">
        <v>77</v>
      </c>
      <c r="H16">
        <v>76</v>
      </c>
      <c r="I16">
        <f t="shared" si="0"/>
        <v>333</v>
      </c>
      <c r="J16">
        <v>500</v>
      </c>
      <c r="K16" s="7">
        <f t="shared" si="1"/>
        <v>0.66600000000000004</v>
      </c>
      <c r="L16" s="8">
        <f t="shared" si="2"/>
        <v>0.33399999999999996</v>
      </c>
    </row>
    <row r="17" spans="1:12" x14ac:dyDescent="0.2">
      <c r="A17" t="s">
        <v>27</v>
      </c>
      <c r="B17" s="5" t="s">
        <v>44</v>
      </c>
      <c r="C17" s="3" t="s">
        <v>54</v>
      </c>
      <c r="D17">
        <v>21</v>
      </c>
      <c r="E17">
        <v>55</v>
      </c>
      <c r="F17">
        <v>98</v>
      </c>
      <c r="G17">
        <v>78</v>
      </c>
      <c r="H17">
        <v>78</v>
      </c>
      <c r="I17">
        <f t="shared" si="0"/>
        <v>330</v>
      </c>
      <c r="J17">
        <v>500</v>
      </c>
      <c r="K17" s="7">
        <f t="shared" si="1"/>
        <v>0.66</v>
      </c>
      <c r="L17" s="8">
        <f t="shared" si="2"/>
        <v>0.33999999999999997</v>
      </c>
    </row>
    <row r="18" spans="1:12" x14ac:dyDescent="0.2">
      <c r="A18" t="s">
        <v>28</v>
      </c>
      <c r="B18" s="5" t="s">
        <v>48</v>
      </c>
      <c r="C18" s="3" t="s">
        <v>60</v>
      </c>
      <c r="D18">
        <v>45</v>
      </c>
      <c r="E18">
        <v>72</v>
      </c>
      <c r="F18">
        <v>65</v>
      </c>
      <c r="G18">
        <v>55</v>
      </c>
      <c r="H18">
        <v>98</v>
      </c>
      <c r="I18">
        <f t="shared" si="0"/>
        <v>335</v>
      </c>
      <c r="J18">
        <v>500</v>
      </c>
      <c r="K18" s="7">
        <f t="shared" si="1"/>
        <v>0.67</v>
      </c>
      <c r="L18" s="8">
        <f t="shared" si="2"/>
        <v>0.32999999999999996</v>
      </c>
    </row>
    <row r="19" spans="1:12" x14ac:dyDescent="0.2">
      <c r="A19" t="s">
        <v>29</v>
      </c>
      <c r="B19" s="5" t="s">
        <v>49</v>
      </c>
      <c r="C19" s="3" t="s">
        <v>54</v>
      </c>
      <c r="D19">
        <v>56</v>
      </c>
      <c r="E19">
        <v>87</v>
      </c>
      <c r="F19">
        <v>76</v>
      </c>
      <c r="G19">
        <v>74</v>
      </c>
      <c r="H19">
        <v>98</v>
      </c>
      <c r="I19">
        <f t="shared" si="0"/>
        <v>391</v>
      </c>
      <c r="J19">
        <v>500</v>
      </c>
      <c r="K19" s="7">
        <f t="shared" si="1"/>
        <v>0.78200000000000003</v>
      </c>
      <c r="L19" s="8">
        <f t="shared" si="2"/>
        <v>0.21799999999999997</v>
      </c>
    </row>
    <row r="20" spans="1:12" x14ac:dyDescent="0.2">
      <c r="A20" t="s">
        <v>30</v>
      </c>
      <c r="B20" s="5" t="s">
        <v>50</v>
      </c>
      <c r="C20" s="3" t="s">
        <v>61</v>
      </c>
      <c r="D20">
        <v>44</v>
      </c>
      <c r="E20">
        <v>9</v>
      </c>
      <c r="F20">
        <v>76</v>
      </c>
      <c r="G20">
        <v>84</v>
      </c>
      <c r="H20">
        <v>90</v>
      </c>
      <c r="I20">
        <f t="shared" si="0"/>
        <v>303</v>
      </c>
      <c r="J20">
        <v>500</v>
      </c>
      <c r="K20" s="7">
        <f t="shared" si="1"/>
        <v>0.60599999999999998</v>
      </c>
      <c r="L20" s="8">
        <f t="shared" si="2"/>
        <v>0.39400000000000002</v>
      </c>
    </row>
    <row r="21" spans="1:12" x14ac:dyDescent="0.2">
      <c r="A21" t="s">
        <v>31</v>
      </c>
      <c r="B21" s="5" t="s">
        <v>51</v>
      </c>
      <c r="C21" s="3" t="s">
        <v>62</v>
      </c>
      <c r="D21">
        <v>55</v>
      </c>
      <c r="E21">
        <v>89</v>
      </c>
      <c r="F21">
        <v>98</v>
      </c>
      <c r="G21">
        <v>89</v>
      </c>
      <c r="H21">
        <v>78</v>
      </c>
      <c r="I21">
        <f t="shared" si="0"/>
        <v>409</v>
      </c>
      <c r="J21">
        <v>500</v>
      </c>
      <c r="K21" s="7">
        <f t="shared" si="1"/>
        <v>0.81799999999999995</v>
      </c>
      <c r="L21" s="8">
        <f t="shared" si="2"/>
        <v>0.18200000000000005</v>
      </c>
    </row>
    <row r="22" spans="1:12" x14ac:dyDescent="0.2">
      <c r="A22" t="s">
        <v>32</v>
      </c>
      <c r="B22" s="5" t="s">
        <v>52</v>
      </c>
      <c r="C22" s="3" t="s">
        <v>53</v>
      </c>
      <c r="D22">
        <v>47</v>
      </c>
      <c r="E22">
        <v>75</v>
      </c>
      <c r="F22">
        <v>76</v>
      </c>
      <c r="G22">
        <v>98</v>
      </c>
      <c r="H22">
        <v>71</v>
      </c>
      <c r="I22">
        <f t="shared" si="0"/>
        <v>367</v>
      </c>
      <c r="J22">
        <v>500</v>
      </c>
      <c r="K22" s="7">
        <f t="shared" si="1"/>
        <v>0.73399999999999999</v>
      </c>
      <c r="L22" s="8">
        <f t="shared" si="2"/>
        <v>0.26600000000000001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2026-06-19T04:14:27Z</dcterms:created>
  <dcterms:modified xsi:type="dcterms:W3CDTF">2026-08-13T01:16:32Z</dcterms:modified>
</cp:coreProperties>
</file>